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Juliana Zhang" sheetId="2" r:id="rId5"/>
    <sheet state="visible" name="Yasna Rostam Abadi" sheetId="3" r:id="rId6"/>
    <sheet state="visible" name="Dashboard" sheetId="4" r:id="rId7"/>
  </sheets>
  <definedNames/>
  <calcPr/>
</workbook>
</file>

<file path=xl/sharedStrings.xml><?xml version="1.0" encoding="utf-8"?>
<sst xmlns="http://schemas.openxmlformats.org/spreadsheetml/2006/main" count="211" uniqueCount="177">
  <si>
    <t>Task 3: Produce Human Diagnosis Benchmark for Comparison with LLMs</t>
  </si>
  <si>
    <t>Purpose:</t>
  </si>
  <si>
    <t>This spreadsheet collects human-produced differential diagnoses for purposes of comparison with LLM diagnostic performance, on a randomly selected list of 30 vignettes from the entire dataset.</t>
  </si>
  <si>
    <t>Task:</t>
  </si>
  <si>
    <t>For each vignette, please:</t>
  </si>
  <si>
    <t>1. Produce a list of the top 5 most likely diagnoses in a differential diagnosis format. The topmost diagnosis should be the primary diagnosis, and the rest should be secondary.</t>
  </si>
  <si>
    <t>2. Please briefly explain your reasoning behind your diagnoses.</t>
  </si>
  <si>
    <t>Important - Finding Your Assigned Cases (when you are the only one editing):</t>
  </si>
  <si>
    <t>1. Each clinician has been assigned a specific sheet in this workbook. To find yours, look for your name on the bottom.</t>
  </si>
  <si>
    <t>2. Read the vignette under the "Vignette" column.</t>
  </si>
  <si>
    <t>3. Produce a list of 5 differential diagnoses.</t>
  </si>
  <si>
    <t>4. Write out your clinical reasoning.</t>
  </si>
  <si>
    <t>Time Estimate:</t>
  </si>
  <si>
    <t>Each vignette should take approximately 7-8 minutes to diagnose, with clinical reasoning.</t>
  </si>
  <si>
    <t>Total time commitment per clinician: Do not exceed 5 hours.</t>
  </si>
  <si>
    <t>Deadline:</t>
  </si>
  <si>
    <t>Contact:</t>
  </si>
  <si>
    <t>If you have any questions, please contact Kevin Jin in the WhatsApp group or at kevin.jin@yale.edu.</t>
  </si>
  <si>
    <t>Case ID</t>
  </si>
  <si>
    <t>Vignette</t>
  </si>
  <si>
    <t>Diagnosis</t>
  </si>
  <si>
    <t>Reasoning</t>
  </si>
  <si>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</si>
  <si>
    <t>1. Paraphilia (F 65)
2. Adjustment disorder with anxiety (F43.22)
3. Paraphilic disorder (F 65)
4. Unspecified anxiety disorder (F 41.9) 
5. Unspecified mood disorder (F39)</t>
  </si>
  <si>
    <t xml:space="preserve">Pt demonstrates a paraphilia (persistent sexual interest in atypical objects, in this case women's undergarments). He does not meet criteria for a paraphilic disorder because he does not feel personal distress about his interest nor does his sexual desire/behavior involves another person's psychological distress, injury, or death. His paraphilia does not cause him impairment in functioning as he is able to continue working. There may be an adjustment disorder with anxiety as his wife finding out about his paraphilia has caused conflict within their marriage. He also has problems falling asleep due to ruminative thoughts about his marrriage, which is likely an adjustment reaction. He may have an underlying mood disorder, but with the information provided that is not able to be diagnosed fully. Note that in the ICD 10, there is no distinction between a paraphilia and a paraphilic disorder. However, therei s distinction in the DSM. </t>
  </si>
  <si>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</si>
  <si>
    <t xml:space="preserve">1. Functional neurologic disorder (F 44.5)
2. Epilepsy (G 40)
3. PTSD (F 43.1)
4. Unspecified mood disorder (F39)
5. Unspecified anxiety disorder (F 41.9) </t>
  </si>
  <si>
    <t xml:space="preserve">Pt has history of whole convulsions that were uncontrolled despite anti-seizure medication. He had EEG done and it did not note seeing any epileptic events, most of his lab workup was normaly. Durring his convulsion, he was able to follow simple verbal commands and the shaking movements became less intense when the physician’s hand was placed on the patient’s shoulder; the movements resumed at the previous intensity when the hand was removed. These are all characteristics of non-epileptic seizures and given his history of MDD and PTSD, likely diagnosis if functional neurologic disorder (conversion disorder). Epilepsy still needs to be ruled out as you cannot definitely tell if his seizures are non-epileptic vs. epileptic unless it is captured on an EEG (needs EMU admission). He has significant trauma history, making PTSD a likely diagnosis. Would also need to rule out any underlying mood and/or anxiety symptoms. </t>
  </si>
  <si>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</si>
  <si>
    <t xml:space="preserve">1. Post-concussion syndrome (F 07.81)
2. Alcohol use disorder (F 10)
3. Stimulant use disoder (F 15)
4. Sedative/hypnotic use disorder (F 13)
5. Major depressive disorder (F 32.1) </t>
  </si>
  <si>
    <t xml:space="preserve">Parents describe an abrupt change in the patient's personality and further history discloses pt was involved in a serious car accident with MRI changes seen in the left frontal cortex. Her neuropsych testing also shows a significant change in scoring. Likely her concussion resulted in post-concussion syndrome given her worsening irritability, impulsivity, and emotional lability. She also has extensive polysubstance use.  There is possibility of underlying major depressive disorder that spurred some of the behavior changes in adolescence as depression often manifests as increase in anger and worsening school performance. </t>
  </si>
  <si>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</si>
  <si>
    <t xml:space="preserve">1. Intermittent explosive disorder (F 63.81)
2. PTSD (F 43.1)
3. Antisocial personality disorder (F 60.2)
4. Unspecified mood disorder (F39)
5. Unspecified anxiety disoder (F 41.9) </t>
  </si>
  <si>
    <t xml:space="preserve">Pt has four episodes of verbal aggression weekly, as well as acts of physical violence every 2 months that involve damage or destruction of property/physical assault. The episodes of aggression is out of propotion to the prrovocation. Each episode is short-lived, reaching a peak within seconds and rarely lasting more than a few minutes. These are consistent with a diagnosis of intermittent explosive disorder. He also has a history of childhood trauma and his anger outbursts could also come from hyperarousal/reactivity seen in PTSD. His anger outbursts started in childhood at age 13, with frequent fights with classmates that would occasionally result in trips to the principal’s office. This episodic pattern in childhood signs of conduct disorder (diagnosed as antisocial personality in adulthood). He did have history of depression, underlying mood disorder could also worsen irritability and frustration tolerance and would need to screen for history of mania/hypomania. He also mentions episodes of anxiety in the past. </t>
  </si>
  <si>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</si>
  <si>
    <t>1. PTSD (F 43.1)
2. Autism spectrum disorder (F 84)
3. Major depressive disorder (F 32.1) 
4. Intermittent explosive disorder  (F 63.81)
5. Unspecified dissociative disorder (F 44.9)</t>
  </si>
  <si>
    <t xml:space="preserve">Pt has significant childhood adverse events and demonstrates hypervigilance, mood changes, persistent anger, reckless behavior, and anger outbursts. These are all concerning for a diagnosis of PTSD. In addition, there is concern for ASD given his history of difficulty with socialization as a childhood, speech difficulties, and hyperarousal to sensory stimuli. MDD is on the differential given his feelings of hopelessness and suicidal ideation. His anger outbursts may IED, but it does seem to be better explained by PTSD given his trauma history. </t>
  </si>
  <si>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</si>
  <si>
    <t xml:space="preserve">1. Cri-du-chat Syndrome (Q93.4)
2. Down Syndrome (Q90)
3. Patau Syndrome (Q91.7)
4. Edwards Syndrome (Q91.3)
5. Pediatric hypotonia (Q94.2)
</t>
  </si>
  <si>
    <t xml:space="preserve">Pt has characteristic high-pitched, cat like cry as well as distinct facial features of wide-set eyes, low-set ears that are suspicious for the genetic disorder Cri du chat. These patients often persent with heart defects (split S2), microcephaly, low birth weight, hypotonia, and feeding problems which are all present in the patient. Other genetic disorders to consider would be Down Syndrome, Edwards Syndome, and Patau Syndrome. However, the cat like cry is not seen in any of those conditions.  </t>
  </si>
  <si>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</si>
  <si>
    <t>1. Bipolar I disoder, current episode depressed, severe, without psychotic features (F 31.4)
2. Borderline Personality Disorder (F 60.3)
3. Adjustment disorder with depressed mood (F43.21)
4. Major depressive disorder, severe, with mixed features (F 33.2)
5. Unspecified mood disorder (F39)</t>
  </si>
  <si>
    <t xml:space="preserve">She has history of cycling between depressive and hypomanic symptoms, but because she had paranoia during her last episode, that automatically places her in Bipolar I and not II. Her chronic feelings of emptiness along with self-harm/suicidality also place Borderline on the differential. It could also be adjustment disorder as she just moved to a new city 3 months ago for graduate school. MDD with mixed features is on the differential, but it seems more like distinct episodes of deprerssion vs. mania rather than having both of the symptoms at the same time. </t>
  </si>
  <si>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</si>
  <si>
    <t>1. Disruptive mood dysregulation disorder (F34.81)
2. Oppositional defiant disorder (F91.3)
3. Conduct disorder (F91.1)
4. Unspecified mood disorder (F39)
5. Other trauma and stressor related disorder (F43)</t>
  </si>
  <si>
    <t xml:space="preserve">Patient has aspects of ODD, with being easily irritable, defiant towards authority figurers, deliberately annoys others, and often blames others for their mistakes. However, what causes her to meet criteria for DMDD is persistent irritability in-between  episodes which is not seen in ODD and the severity of her outbursts resulting in physical aggression. Conduct disorder is also on the differential due to her aggression, deceitfulness, and lack of remorse. Anger is often a symptom of depression in children/adolescents, so that needs to be ruled out as well. Patient also has significant childhood trauma of being taken away from her parents and an unstable home environment as she is a warden of the state. Her behavior could also be the result of trauma.  </t>
  </si>
  <si>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</si>
  <si>
    <t>1. Bipolar 1 disorder, current episode manic, severe, without psychotic features (F 31.13)
2. Disruptive mood dysregulation disorder (F34.81)
3. Oppositional defiant disorder (F91.3)
4. Conduct disorder (F91.1)
5. ADHD, predominantly hyperactive/impulsive type (F90.1)</t>
  </si>
  <si>
    <t xml:space="preserve">Patient meets criteria for a manic episode: restlessness, irritability, decreased need for sleep, impulsivity/indiscretion, increased energy, talkativeness. These episodes are cyclical, and she will have periods of normalcy. The fact that she had to be hospitalized automatically makes it bipolar I over II. DMDD, ODD, ADHD, and Conduct disorder are on the differential given her impulsivity, irritability, and anger out of proportion to the situation, but they do not show the cyclical pattern that bipolar does. </t>
  </si>
  <si>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</si>
  <si>
    <t xml:space="preserve">1. Severe Intellectual Developmental Disorder with significant impairment of behavior (F72.1)
2. Autism Spectrum Disorder (F 84.0)
3. Unspecified mood disorder (F 39)
4. Dysthymia (F 34.1)
5. Major depressive disorder (F 32.1)
</t>
  </si>
  <si>
    <t xml:space="preserve">Patient has severe IDD with significant impairment of he behavior (Full scale IQ 31). She may also show aspects of ASD given her rigidity (cannot tolerate changes to her schedule), deficits in verbal and non-verbal communication, developmental delay, and savant skills (drawing precise representations of license plates from different states from memory). There may be an underlying mood disorder or depression given the apathy. </t>
  </si>
  <si>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</si>
  <si>
    <t xml:space="preserve">1. Mood disorder due to known physiological condition with depressive features (F 06.31)
2. Dysthymia (F 34.1)
3. Insomnia due to a medical condition (G 47.01)
4. Major depressive disorder (F 32.1)
5. Unspecified mood disorder  (F 39)
</t>
  </si>
  <si>
    <t xml:space="preserve">Patient started to have symptoms of apathy, fatigue, impaired concentration and memory, unintentional weight loss, and insomnia after he was diagnosed with Parkinson’s disease. These symptoms are often the sequelae of neurodegenerative disease like Parkinson’s. He does not have persistent sadness and he had no history of episodic depressive episodes prior to diagnosis, making MDD less likely, although dysthymia is a possibility. </t>
  </si>
  <si>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</si>
  <si>
    <t xml:space="preserve">1. Bipolar II disorder (F 31.81)
2. Alcohol use disorder (F 10.2)
3. Adjustment disorder with anxiety (F 43.22)
4. Anxiety, unspecified (F 41.9)
5. Unspecified mood disorder (F 39)
</t>
  </si>
  <si>
    <t xml:space="preserve">The patient has severe alcohol use disorder resulting in cirrhosis. What is suspicious for Bipolar II is that family described worsening irritability, anxiety, history of feeling “great” after receiving news of his diagnosis of liver cirrhosis, increased energy, restlessness, poor sleep, poor concentration/distractibility. Family also describes his actions as “uncharacteristic”. He has not had a full blown manic episode for a diagnosis of Bipolar I. It could possibly be an adjustment reaction as he just received some life changing news, but the mood changes/euphoria and increased energy despite decreased sleep are more suspicious for bipolar. Considered hepatic encephalopathy, but he was not disoriented and there was no fluctuation in mentation. </t>
  </si>
  <si>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</si>
  <si>
    <t xml:space="preserve">1. Opioid use disorder (F 11.2)
2. Substance-induced mood disorder (F 11.24)
3. Major depressive disorder (F 32.1)
4. Alcohol use disorder, in remission (F 10.11)
5. Nicotine dependence (F 17.21)  
</t>
  </si>
  <si>
    <t xml:space="preserve">The patient first received opiates when he sustained an injury while playing basketball. However, he continued to take more than prescribed and started “craving” the opioids. He became preoccupied with trying to find more and it caused functional impairment. These all lead to a diagnosis of opioid use disorder. His poor mood could also be due to the opioids and withdrawal, hence a substance induced mood disorder, although he does have a history of MDD. This can be differentiated with a period of sobriety and seeing if his mood symptoms persist despite abstinence from opioids. He also has a history of alcohol use disorder but appears to be in remission. He smokes 2 packs of cigarettes daily, meeting criteria for nicotine dependence. </t>
  </si>
  <si>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</si>
  <si>
    <t xml:space="preserve">1. Obsessive compulsive disorder (F42)
2. Anorexia nervosa (F 50.01)
3. Dysthymia (F34.1)
4. Borderline Personality Disorder (F 60.3)
5. Major depressive disorder (F 32.1)
</t>
  </si>
  <si>
    <t xml:space="preserve">Patient has ritualistic behaviors along with obsessions with contamination and checking. There is compulsive behavior in response to the obsessions with checking mirror, locking/unlocking, holding their breath and these obsessions cause patient distress. This leads to a diagnosis of OCD. There is also significant fear of gaining weight and pt has restricted their food intake. While BMI falls into normal range, there is no binging behaviors which rule out bulimia. Her presentation is consistent with anorexia nervosa. She does not have depressive symptoms most of the day, nearly everyday that is typical for MDD, she appears to have some symptoms of depression but does not meet criteria for a full depressive episode. The mood symptoms could possibly be dysthymia or underlying borderline personality disorder given her recurrent suicidality/self-harm and emotional instability. </t>
  </si>
  <si>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</si>
  <si>
    <t xml:space="preserve">1. Major depressive disorder with psychotic features (F 32.3)
2. Insomnia due to a mental disorder (F 51.05)
3. Schizoaffective disorder, depressed type (F 25.1)
4. Psychosis, unspecified (F 29)
5. Dysthymia (F34.1)
</t>
  </si>
  <si>
    <t xml:space="preserve">Patient meets criteria for MDD given her persistent depression, poor appetite, insomnia, low energy, poor concentration, and suicidal ideation that have lasted for at least 2 weeks. She also has mood-congruent psychotic features; she is paranoid that she will go to prison due to perceived mistakes at work and these are mood congruent (matching themes of guilt/worthlessness). She suffers from insomnia likely due to her depression. It’s possible she may have schizoaffective disorder, but we would need more history to see if there was a 2 week period without mood symptoms and persistent psychotic symptoms. </t>
  </si>
  <si>
    <t>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t>
  </si>
  <si>
    <t xml:space="preserve">1. Catatonia (F 06.1)
2. Major depressive disorder, recurrent, severe, with catatonia (F 33.2)
3. Psychosis, unspecified (F 29)
4. Unspecified encephalopathy (G 93.40)
5. Delirium (F 05)
</t>
  </si>
  <si>
    <t xml:space="preserve">Patient has history of MDD treated with Zoloft, but lost insurance and had not been taking it in the past 6 months. Her current presentation is concerning for catatonia given the bizarre behavior, stupor/immobility, mutism, waxy flexibility, negativism, posturing, and not eating or attending to hygiene. The cause of her catatonia is likely untreated and severe depression. Her bizarre behavior could be a psychotic process, but her specific symptoms are more consistent with catatonia. Encephalopathy is on the differential, labs will be needed and vital signs in order to rule this out. Delirium is less likely as there is no mention of fluctuating mentation. </t>
  </si>
  <si>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</si>
  <si>
    <t>1. Social Anxiety Disorder (F40.1)
2. PTSD (F43.1)
3. Generalized anxiety disorder (F 41.4)
4. Major depressive disorder (F 32.9)
5. Unspecified anxiety (F 41.9)</t>
  </si>
  <si>
    <t>The pt has marked fear or anxiety about social situations that is out to proportion to the threat of the social situation (ordering at restaurants). Any social situation provokes fear and there is extreme avoidance of any social situation, to the point of impairment. This is consistent  with social anxiety disorder. Pt was bullied to the point of being assaulted and given a black eye. She was repeatedly bullied, and that resulted in nightmares, avoidance of social situations, hyper vigilance, self-destructive behavior (cutting self), persistent negative emotional state lend itself to possible PTSD. She may also have co-occurring GAD if there are other worries. MDD also needs to be explored given her SI and cutting.</t>
  </si>
  <si>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</si>
  <si>
    <t>1. Anorexia nervosa, restricting type (F50.01)
2. Body dysmorphic Disorder (F45.22)
3. Bulimia nervosa (F50.2)
4. Binge eating disorder (F 50.81)
5. Avoidant restrictive food intake disorder (F 50.82)</t>
  </si>
  <si>
    <t xml:space="preserve">Pt has restriction of food intake and excessive exercise that led to disruption in her physical health (missed 3 periods and having reflex). This behavior is consistent with anorexia nervosa. There is likely aspects of body dysphoria as well. Bulimia and binge eating disorder are less likely as there are no binging behaviors noted. ARFID is possible as she has significant feeding disturbance, but there is no mention of lack of interest in eating or sensory disturbances with food. </t>
  </si>
  <si>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</si>
  <si>
    <t xml:space="preserve">1. Bipolar I disorder with psychotic features with peripartum onset (F 31.2)
2. Schizoaffective disorder, bipolar type (F 25.0)
3. Delirium (F 05.1)
4. Unspecified psychosis (F 29)
5. Unspecified mood disorder (F 39)
</t>
  </si>
  <si>
    <t xml:space="preserve">Pt has a history of a prior manic episode and displays multiple symptoms of mania currently: euphoria, mood lability, , irritability, flight of ideas, talkativeness, distractible, with delusional beliefs. This is consistent with Bipolar I with psychotic features and peripartum onset since it began after she gave birth. Schizoaffective is on the differential, but less likely as it seems the psychotic symptoms appear only in the context of mood symptoms. Delirium needs to be ruled out as she did not test in formal cognitive testing. </t>
  </si>
  <si>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</si>
  <si>
    <t>1. Drug induced psychotic disorder (F19.251)
2. Brief psychotic disorder (F23)
3. Unspecified psychosis (F 29)
4. Schizophrenia (F 20.9)
5. Schizoaffective disorder, unspecified (F 25.9)</t>
  </si>
  <si>
    <t xml:space="preserve">This pt has no psychiatric history and a known history of seizures. Shortly after starting Keppra, he began having psychotic symptoms. Keppra is known to have multiple psychiatric side effects, including psychosis, which makes the diagnosis a drug induced psychotic disorder. The other psychotic disorders can be considered, but pt would need to be monitored to see if psychotic symptoms persist despite pt being off Keppra. </t>
  </si>
  <si>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</si>
  <si>
    <t>1. OCD (F 42.2)
2. Excoriation Disorder (F 42.4)
3. Generalized anxiety disorder (F 41.4)
4. Major depressive disorder (F 32.9)
5. Bulimia nervosa (F50.2)</t>
  </si>
  <si>
    <t xml:space="preserve">The patient describes obsessional thoughts that are distressing and attempts to neutralize them with compulsive behaviors. These have led to significant social and professional impairment, consistent with a diagnosis of OCD. They also pick their skin excessively to the point of injury, consistent with excoriation disorder. They have history of depression with multiple depressive symptoms, meeting criteria for MDD. GAD is also likely as they have multiple worries. Finally, their eating pattern suggests bulimia nervosa, as they have episodes of binging and then inappropriate compensatory behavior (fasting for 3 days). </t>
  </si>
  <si>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</si>
  <si>
    <t>1. Schizophrenia (F 20.9)
2. Delirium F 05.1)
3. Schizoaffective disorder, unspecified (F 25.9)
4. Unspecified psychosis (F 29)
5. Unspecified mood disorder (F 39)</t>
  </si>
  <si>
    <t xml:space="preserve">Patient has a long history of psychotic symptoms at a young age, exhibits internal preoccupation, auditory hallucinations, concrete thought process, disorganized behavior, and has had significant drop in functioning. These are all consistent with schizophrenia. However, delirium needs to be considered as this appears to be an acute change in her behavior, she was on treatment with clozapine and appeared to be improving. Schizoaffective should be considered if there are any mood symptoms in conjunction. </t>
  </si>
  <si>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</si>
  <si>
    <t xml:space="preserve">1. Autism Spectrum Disorder (F 84.0)
2. Tourette’s Syndrome (F 95.2)
3. Disruptive mood dysregulation disorder (F 34.81)
4. Unspecified anxiety (F 41.9)
5. Intellectual Developmental Disorder, unspecified (F 79) </t>
  </si>
  <si>
    <t xml:space="preserve">Pt had significant developmental delay, lack of a social smile, difficulty with eye contact, difficulty with social interactions and social cues, and restricted/repetitive interests which all are part of ASD. There is concern for Tourettes given her involuntary movements (eye blinking, contorting neck) and involuntarily shouting racial slurs. DMDD is on the differential given her significant temper outbursts, but there is no mention of persistent irritable/angry mood. She may also have some sort of underlying social anxiety which makes it even more difficult to make friends. There is also no IQ testing, but possible IDD is a co-morbid condition. </t>
  </si>
  <si>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</si>
  <si>
    <t xml:space="preserve">1. Avoidant personality disorder (F 60.6)
2. Benzodiazepine use disorder (F 13.20)
3. Social anxiety disorder  (F40.1)
4. Generalized anxiety disorder (F 41.4)
5. Unspecified anxiety (F 41.9) </t>
  </si>
  <si>
    <t xml:space="preserve">Pt appears to have a pervasive pattern of extreme shyness and low self-esteem. He shares how difficult it is to maintain relationships and his sensitivity to rejection/criticism. These are consistent with avoidant personality disorder. What differs his situation from social anxiety disorder, is that social anxiety is situational whereas for him, it is pervasive in all settings. He also is misusing benzodiazepines, getting prescriptions from 3 different doctors. There may be a mood component as well given his sadness and frequent crying. </t>
  </si>
  <si>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</si>
  <si>
    <t>1. Substance induced psychotic disorder (F 19.15)
2. Methamphetamine abuse (F 15.20)
3. PCP abuse (F 16.1)
4. Marijuana abuse (F 12.122)
5. Unspecified psychosis (F 29)</t>
  </si>
  <si>
    <t xml:space="preserve">Patient is aggressive, irritable, and psychotic, speaking about the devil and feeling “like a God” (grandiose delusions). His UDS is positive for multiple substances, and after a few hours he metabolizes the substances and his psychosis resolves. This likely points to a substance induced psychosis. </t>
  </si>
  <si>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</si>
  <si>
    <t xml:space="preserve">1. Schizoaffective disorder, bipolar type  (F 25.0)
2. Bipolar I disorder, severe, with psychotic features (F 31.2)
3. Marijuana abuse (F 12.12)
4. PTSD (F 43.1)
5. Schizophrenia (F 20)
</t>
  </si>
  <si>
    <t xml:space="preserve">Patient has auditory hallucinations, delusions, and severe disorganized behavior. He has had these for 10 years and even recalled a period of time where he also had manic symptoms of decreased need for sleep, racing thoughts, with psychosis. There appears to be periods of psychosis in absence of any mood symptoms, making more likely the diagnosis if schizoaffective disorder, bipolar type rather than Bipolar I with psychotic features. </t>
  </si>
  <si>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</si>
  <si>
    <t>1. Oppositional defiant disorder (F 91.3)
2. Disruptive mood dysregulation disorder (F 34.81)
3. ADHD, unspecified (F 90.9)
4. Conduct disorder (F 91.2)
5. Unspecified mood disorder  (F 39)</t>
  </si>
  <si>
    <t xml:space="preserve">Patient is oppositional to authority figures and purposely defies their rules. He easily loses his temper and is frequently angry. These are suggestive of ODD. It may be DMDD if his mood is persistently irritable all the time. Children with ADHD may also act out due to hyperactivity/impulsivity. Conduct disorder is possible, but it does not appear he has violated the rights of others. Children also with depression can also manifest as anger initially, although he denies depression. 
</t>
  </si>
  <si>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</si>
  <si>
    <t>1. Disruptive mood dysregulation disorder (F 34.81)
2. Conduct disorder (F 91.2)
3. Unspecified mood disorder  (F 39)
4. ADHD, unspecified (F 90.9)
5. Autism spectrum disorder (F 84.0)</t>
  </si>
  <si>
    <t xml:space="preserve">The pt is reported as chronically irritable, frequently getting into fights, and having long-standing behavioral difficulties which are all indicative of DMDD. Possibly Conduct disorder, but no report of severe violations of the rights of others or animals. There may be underlying depression causing him to act out or ADHD as well. ASD is on the differential due to pt self-isolated, avoiding eye contact, and appearing to have social communication difficulties. </t>
  </si>
  <si>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</si>
  <si>
    <t>1. Substance induced mood disorder (F 15)
2. Cocaine use disorder (F 14.20)
3. Alcohol use disorder (F 10.20)
4. Major depressive disorder (F 32.9)
5. Unspecified mood disorder  (F 39)</t>
  </si>
  <si>
    <t xml:space="preserve">The patient uses cocaine several times per week for 9 months. He has spent a large amount of time finding ways to obtain cocaine and it has started to impair his personal relationships and mood. In addition, he heavily drinks alcohol. He likely has a substance induced mood disorder as his symptoms of depression and irritability did not begin until 6 months ago, after he had already been using cocaine heavily for 3 months. He may have had MDD, but that would be determined if he still feels depressed after a period of sobriety. 
</t>
  </si>
  <si>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</si>
  <si>
    <t>1. Bipolar I disorder, current episode manic, severe  (F 31.2)
2. Methamphetamine use disorder (F 15.20)
3. Substance-induced mood disorder  (F 15)
4. Schizoaffective disorder, bipolar type (F 25.0)
5. Unspecified mood disorder (F 39)</t>
  </si>
  <si>
    <t xml:space="preserve">The patient is having a manic episode with his increased energy, decreased amount of sleep, increase in goal directed activity, grandiose delusions, hyper sexuality, flight of ideas, and irritability making a diagnosis of Bipolar I most likely. Less likely this was substance induced since this had been on-going before he took methamphetamine for the first time after a period of abstinence. Possibly schizoaffective, but less likely as it does not appear he has periods of psychotic symptoms without any mood symptoms. </t>
  </si>
  <si>
    <t>1. Fetishism F65.0
2. Paraphilia, unspecified - F65.9
3. Sexual dysfunction, unspecified - R37
4. Obsessive-compulsive disorder, unspecified - F49.9 
5. Anxiety disorder, unspecified - F41.9</t>
  </si>
  <si>
    <t xml:space="preserve">1. Fetishism F65.0
most likely dx given the interest in atypical objects for sexual arousal. 
2. Paraphilia, unspecified - F65.9 and 3. Sexual dysfunction, unspecified - R37
also on the differential 
4. Obsessive-compulsive disorder, unspecified - F49.9 and  5. Anxiety disorder, unspecified - F41.9 
less likely and would need further developmental hx. </t>
  </si>
  <si>
    <t>1. Functional neurological symptom disorder with attacks or seizures - F44.5
2. Functional neurological symptom disorder with anesthesia or sensory loss  -F44.6
3. Epilepsy and recurrent seizures - G40
4. Post-traumatic stress disorder (PTSD) - F43.1
5. Dissociative and conversion disorder, unspecified - F44.9</t>
  </si>
  <si>
    <t xml:space="preserve">1. Functional neurological symptom disorder with attacks or seizures - F44.5 and 
2. Functional neurological symptom disorder with anesthesia or sensory loss  -F44.6 
Most likley diagnsois is functional neurologic symptom disorder either of the above. 
3. Epilepsy and recurrent seizures - G40
Still on the differential, but needs EEG capture of the siezure as well. 
4. Post-traumatic stress disorder (PTSD) - F43.1
trauma response is also on the differential, esp given the hx. 
5. Dissociative and conversion disorder, unspecified - F44.9
unspecified dissociative disorder is also on the differential list. </t>
  </si>
  <si>
    <t>1. Traumatic hemorrhage of cerebrum, unspecified, without loss of consciousness, subsequent encounter - S06.360D
2. Personality and behavioral disorders due to known physiological condition - F07
3. Postconcussional syndrome - F07.81
4. alcohol use disorder - F10.02
5. cocaine use - F14.1</t>
  </si>
  <si>
    <t xml:space="preserve">1. Traumatic hemorrhage of cerebrum, unspecified, without loss of consciousness, subsequent encounter - S06.360D and 2. Personality and behavioral disorders due to known physiological condition - F07
Given the head trauma, MRI findings, and personality and memory changes these two are the primary dx. 
3. Postconcussional syndrome - F07.81
also on the dx list. 
4. Alcohol use disorder - F10.02 and  5. Cocaine use - F14.1 
Given the severity of the use and impairment of the function, as co-occuring dx on the list. </t>
  </si>
  <si>
    <t>1. Intermittent explosive disorder - F63.81
2. Personality disorder, unspecified - F60.9
3. Unspecified mood [affective] disorder - F39</t>
  </si>
  <si>
    <t xml:space="preserve">1. Intermittent explosive disorder - F63.81
most likely primary dx, given the hx of severe outburst of anger, with normal behavior and mood between the episodes, starting after age 10. 
2. Personality disorder, unspecified - F60.9 and  3. Unspecified mood [affective] disorder - F39
less likley as there is no hx of mood episodes or persistent pattern on impaired interpersonal relations between the episodes. </t>
  </si>
  <si>
    <t>1. Post-traumatic stress disorder (PTSD) - F43.1
2. Unspecified mood [affective] disorder - F39
3. Personality disorder, unspecified - F60.9</t>
  </si>
  <si>
    <t xml:space="preserve">Given the trauma hx, hypervigilence, irritability, most likely dx. but also seems to be co-occuring with some depressive sx (unspecified mood disorder) and some persistnet interpersonal relation impairment (unspecified personality disorder) which require further details on the hx. </t>
  </si>
  <si>
    <t>1. Deletion of short arm of chromosome 4 - Q93.3
2. Deletion of short arm of chromosome 5 - Q93.4
3. Kleefstra syndrome - Q87.86</t>
  </si>
  <si>
    <t xml:space="preserve">1. Deletion of short arm of chromosome 4 - Q93.3
2. Deletion of short arm of chromosome 5 - Q93.4
Given the clinical findings including potential heart structural abnormality, hypotonia, and the facial features. </t>
  </si>
  <si>
    <t xml:space="preserve">1. Bipolar disorder, current episode depressed, severe, without psychotic features - F31.4
2. Bipolar II disorder - F31.81 
3. Bipolar disorder, unspecified - F31.9
4. Unspecified mood [affective] disorder - F39 
5.  Schizoaffective disorder, bipolar type - F25.0
 </t>
  </si>
  <si>
    <t xml:space="preserve">1. Bipolar disorder, current episode depressed, severe, without psychotic features - F31.4
Given the current depressive sx in at this time, and the hx of manic sx, lack of psychotic features at this time, and no recent substance use, this episode is mostly consistent with a depressive episode with underlying bipolar disorder. 
2. Bipolar II disorder - F31.81 
As the episodes of manic sx lasted only less than a week, without pt needing hospitalization, and again with no recent substance use, is it mostly consistent with bipolar disorder type II.  
3. Bipolar disorder, unspecified - F31.9
Still unspecified bipolar disorder can be on the differential as needing more clarifications of the sx during the manic and depressive episodes, and lack of adequate response to the Lamictal. 
4. Unspecified mood [affective] disorder - F39 
This can be on the differential as needing more clarifications of the sx during the manic and depressive episodes, and lack of adequate response to the Lamictal. 
5.  Schizoaffective disorder, bipolar type - F25.0
Given some psychotic features in the past episodes, this might be on the differential, but it is least likely as there were no psychotic sx in between the mood episodes and pt function was not altered. </t>
  </si>
  <si>
    <t xml:space="preserve">1. Conduct disorder - F91.9 
2. Disruptive mood dysregulation disorder
 - F34.81 
3. Oppositional defiant disorder - F91.3
4. Post-traumatic stress disorder (PTSD) - F43.1
5. Autistic disorder - F84.0 </t>
  </si>
  <si>
    <t xml:space="preserve">1. Disruptive mood dysregulation disorder - F34.81 
Given the timeline (more than a year, and age before 10), and the clinical presentation with distruptive behavior in at least two settings, with irritable mood in between, most likely dx. 
2. Oppositional defiant disorder - F91.3
 can be on the differential, but less likely given behaviors have been in more than one setting.  
3. Conduct disorder - F91.9 
also less likely, given the nature of the behavioral events and lacking of other features seen in Conduct disorder. 
4. Post-traumatic stress disorder (PTSD) - F43.1
Given that pt is in Foster care, might be on the differential, but not presenting the typical common findings. 
5. Autistic disorder - F84.0 
less likely as the primary dx, but can be  on the differential dx. </t>
  </si>
  <si>
    <t>1. Bipolar disorder, current episode mixed, unspecified - F31.60
2. Bipolar disorder, current episode manic without psychotic features - F31.10
3. Unspecified mood [affective] disorder - F39 
4. Other psychoactive substance use, unspecified with psychoactive substance-induced mood disorder - F19.94
5. Disruptive mood dysregulation disorder
 - F34.81</t>
  </si>
  <si>
    <t xml:space="preserve">1. Bipolar disorder, current episode manic without psychotic features - F31.10
Most likely dx, given the irritable mood, other sx consistent with mania, timeline, episodic nature, and no psychotic features or substance use. 
2. Bipolar disorder, current episode mixed, unspecified - F31.60
can be on the differential, if there are depressive sx also present. 
3. Unspecified mood [affective] disorder - F39 
It can be on the differential if the mania episodes are not well described. 
4. Other psychoactive substance use, unspecified with psychoactive substance-induced mood disorder - F19.94
can be included if there are concerns for substance use. 
5. Disruptive mood dysregulation disorder
 - F34.81
Least likley given the episodic  features, and the timeline (starting after age of 11). </t>
  </si>
  <si>
    <t>1. Kleefstra syndrome - Q87.86
2. Autism spectrum disorder - F84.0
3. koolen-de vries syndrome - Q87.8</t>
  </si>
  <si>
    <t>1. Kleefstra syndrome - Q87.86
Seems pt tested for this syndrome
2. Autism spectrum disorder - F84.0 and  3. koolen-de vries syndrome - Q87.8
On the differential for the Kleefstra syndrome, given the developmental disorder</t>
  </si>
  <si>
    <t>1. Neurocognitive disorder with Lewy bodies - G31.83
2. Major depressive disorder, single episode, unspecified - F32.9
3. Unspecified mood [affective] disorder - F39
4. Depression, unspecified - F32A 
5. Unspecified dementia - F03</t>
  </si>
  <si>
    <t xml:space="preserve">Given the parkinsonism and sleep disorder, and the mood changes, the Lewy body NCD vs. MDD are the top dx on the differential. however, unspecified depression and dementia are also on the list. </t>
  </si>
  <si>
    <t>1. Mood disorder due to known physiological condition, unspecified - F06.30
2. Alcohol dependence, in remission - F10.21
3. Alcohol dependence with alcohol-induced mood disorder - F10.24
4. Alcohol use, unspecified with alcohol-induced persisting amnestic disorder - F10.96
5. Unspecified mood [affective] disorder - F39</t>
  </si>
  <si>
    <t xml:space="preserve">1. Mood disorder due to known physiological condition, unspecified - F06.30
Given the experience of unspecified mood sx, right after discharge and given the complex medical condition with lack of prior episodic mood hx, most likely dx. 
2. Alcohol dependence, in remission - F10.21
pt meets the criteria for alcohol use disorder, currently in remission. 
3. Alcohol dependence with alcohol-induced mood disorder - F10.24 and 4. Alcohol use, unspecified with alcohol-induced persisting amnestic disorder - F10.96
current mood and attention sx might be in the setting of chronic heavy alcohol use. 
5. Unspecified mood [affective] disorder - F39
seems no prior mood episode in the past, however unspecified mood disorder is also on the differential list. </t>
  </si>
  <si>
    <t>1. Chronic pain syndrome - G89.4
2. Opioid dependence with opioid-induced mood disorder - F11.24
3. Major depressive disorder, recurrent, moderate - F31.1
4. Dysthymic disorder - F34.1</t>
  </si>
  <si>
    <t xml:space="preserve">1. Chronic pain syndrome - G89.4
Given the ongoing pain in the knee without structural impairment 
2. Opioid dependence with opioid-induced mood disorder - F11.24
Given the increase need for opioids, with impairment in function and the tolerance, experiencing withdrawals, and the induced depression. 
3. Major depressive disorder, recurrent, moderate - F31.1
less likely, as it seems the depressive sx are substance induced, but given prior MDD hx this would be on the differential. 
4. Dysthymic disorder - F34.1
also on the differential if the sx are persisting. </t>
  </si>
  <si>
    <t>1. Obsessive-compulsive disorder - F42
2. Dysthymic disorder - F34.1
3. Anorexia nervosa - F50
4. Nonsuicidal self-harm - R45.88
5. Major depressive disorder, recurrent - F33</t>
  </si>
  <si>
    <t xml:space="preserve">1. Obsessive-compulsive disorder - F42
most probable primary dx, given the obsessions and compulsions and the time of onset. 
2. Dysthymic disorder - F34.1
given the persistence of the intermittent depressive sx over more than two years, most likely dx for the depressive constellations. 
3. Anorexia nervosa - F50
given the prior dx and the continued restricting behavior, with the low BMI, and the focus on weight. 
4. Nonsuicidal self-harm - R45.88
also present per hx. 
5. Major depressive disorder, recurrent - F33
less likely given that the depressive sxs are not episodic. </t>
  </si>
  <si>
    <t>1. Major depressive disorder, single episode, severe without psychotic features - F32.2
2. Alcohol abuse, uncomplicated - F10.10
3. Dysthymic disorder - F34.1
4. Depression, unspecified - F32.A
5. Adjustment disorder with depressed mood - F43.21</t>
  </si>
  <si>
    <t xml:space="preserve">1. Major depressive disorder, single episode, severe without psychotic features - F32.2
most likely given the timeline, depressive sx including mood, anhedonia, insomnia, and nihilistic delusions
2. Alcohol abuse, uncomplicated - F10.10
also co-occuring, given the increased use, mostly secodnary to the MDD
3. Dysthymic disorder - F34.1
less likely given the timeline and the episodic feature. 
4. Depression, unspecified - F32.A
can be on the differential based on additional findings in the prior hx. 
5. Adjustment disorder with depressed mood - F43.21
less likely given that the episode has lasted and no specific association with a stressor. </t>
  </si>
  <si>
    <t xml:space="preserve">1. Catatonic disorder due to known physiological condition - F06.1
2. Major depressive disorder, recurrent severe without psychotic features - F33.2
3. Dissociative stupor - F44.2
4. Unspecified psychosis - F29
5. Conversion disorder with motor symptom or deficit - F44.4 
</t>
  </si>
  <si>
    <t xml:space="preserve">1. Catatonic disorder due to known physiological condition - F06.1
Given the motor and language findings and a hx of MDD, most likley this is consistent with catatonia, that would be confirmed with a response to Ativan challenge. 
2. Major depressive disorder, recurrent severe without psychotic features - F33.2
This would be the most likely underlying condition giving rise to the current catatonic state given patient's hx. 
3. Dissociative stupor - F44.2
Would be on the differential list, and would need further clinical evaluation and Ativan challenge to differentiate from catatonic state. 
4. Unspecified psychosis - F29
Less likely, given the motor and language finding, but this might be an unspecified psychosis presenting with disorganized behavior and speech. 
5. Conversion disorder with motor symptom or deficit - F44.4 
Less likely, but still on the differential list. 
</t>
  </si>
  <si>
    <t>1. Social phobia, generalized - F40.11
2. Nonsuicidal self-harm - R45.88
3. Psychological abuse, confirmed - T74.3
4. Avoidant personality disorder - F60.6
5. Anxiety disorder, unspecified - F41.9</t>
  </si>
  <si>
    <t>1. Social phobia, generalized - F40.11 
Most likely primary dx, given the intense anxiety and avoidance of interpersonal and social interactions. 
2. Nonsuicidal self-harm - R45.88
also present, as harming self, without a goal of suicidal attempt. 
3. Psychological abuse, confirmed - T74.3
given the hx of bullying at school by peers. 
4. Avoidant personality disorder - F60.6
also on the differential, but less likely vs. social phobia and social anxiety. 
5. Anxiety disorder, unspecified - F41.9</t>
  </si>
  <si>
    <t xml:space="preserve">1. Anorexia nervosa, restricting type - F50.01
2. Anorexia nervosa, binge eating/purging type - F50.2
3. Anorexia nervosa, unspecified - F50.00
4. Avoidant/restrictive food intake disorder - F50.82
5. Body dysmorphic disorder - F45.22
</t>
  </si>
  <si>
    <t xml:space="preserve">1. Anorexia nervosa, restricting type - F50.01
Given the restricting behaviors, including excessive physical activity, calorie restriction, physiologic effects present, and the psychological obsession with calorie intake and potentially weight, this is mostly consistent with anorexia nervosa, restricting type. the severity needs to be assessed based on BMI.  
2. Anorexia nervosa, binge eating/purging type - F50.2
3. Anorexia nervosa, unspecified - F50.00
If the patient is using laxatives to as a purging behavior, the above two dx can be included in the differential list. 
4. Avoidant/restrictive food intake disorder - F50.82
Less consistent, as the patient is not avoiding the food due to the sensory experience, but more focused on the calorie intake, and the presence of other sxs including excessive physical activity. 
5. Body dysmorphic disorder - F45.22
Again, least likely, as the patient is also presenting with other sxs rather than only anxiety about the appearance. 
</t>
  </si>
  <si>
    <t>1. Bipolar disorder, current episode manic severe with psychotic features - F31.2 
2. Puerperal psychosis - F53.1 
3. Brief psychotic disorder - F23
4. Other psychotic disorder not due to a substance or known physiological condition - F28</t>
  </si>
  <si>
    <t xml:space="preserve">1. Bipolar disorder, current episode manic severe with psychotic features - F31.2 
Given the underlying dx of Bipolar disorder, and current sx including mania sx (speech and thought process) and delusions, most likley dx. 
2. Puerperal psychosis - F53.1 
also on the differential given the timeline postpartum. 
3. Brief psychotic disorder - F23 and  4. Other psychotic disorder not due to a substance or known physiological condition - F28
Less likely given the underlying bipolar disorder dx and the presence of mood sx. </t>
  </si>
  <si>
    <t>1. Adverse effect of other antiepileptic and sedative-hypnotic drugs, initial encounter -  T42.6X5A
2. Psychotic disorder with delusions due to known physiological condition - F06.2
3. Brief psychotic disorder - F23
4. Other psychotic disorder not due to a substance or known physiological condition - F28</t>
  </si>
  <si>
    <t xml:space="preserve">Most likely diagnosis is 1. Adverse effect of other antiepileptic and sedative-hypnotic drugs, initial encounter -  T42.6X5A
2. Psychotic disorder with delusions due to known physiological condition - F06.2 as it matches the timeline and it is well known that Keppra might have some psychiatric side effects, but on the differential are 3. Brief psychotic disorder - F23 and  4. Other psychotic disorder not due to a substance or known physiological condition - F28 as it might not be related to the LEV. </t>
  </si>
  <si>
    <t>1. OCD Mixed obsessional thoughts and acts - F42.2
2. Major depressive disorder, recurrent, moderate - F31.1
3. Dependent personality disorder - F60.7 
4. Excoriation (skin-picking) disorder - F42.4
5. Bulimia nervosa - F50.2</t>
  </si>
  <si>
    <t xml:space="preserve">1. OCD Mixed obsessional thoughts and acts - F42.2
Given the intrusive thoughts and the comlusions and the timeline, this is the primary dx. 
2. Major depressive disorder, recurrent, moderate - F31.1
given the episodic nature of the depressive sx, MDD is also on the diagnoses list. 
3. Dependent personality disorder - F60.7 
given the persistent pattern of interpesonal relationships with fear of rejection and clingings, affecting function. 
4. Excoriation (skin-picking) disorder - F42.4
given the excoriation and skin picking and hair picking sxs. 
5. Bulimia nervosa - F50.2
given episodes of binge eating with fasting afterward. </t>
  </si>
  <si>
    <t>1. Paranoid schizophrenia - F20.0
2. Schizophrenia, unspecified - F20.9 
3. Schizoaffective disorder, unspecified - F25.9
4. Unspecified psychosis not due to a substance or known physiological condition - F29
5. Other psychoactive substance use, unspecified with psychoactive substance-induced psychotic disorder with hallucinations - F19.951</t>
  </si>
  <si>
    <t xml:space="preserve">Given the presence of dx of paranoid schizophrenia, this is most likely diagnosis, but there is a need for more data on whether a the paranoid delusions persisted or whether any mood episodes existed in the past.Less likely dx might be psychosis in the setting of subtance use (but there is no hx of that). </t>
  </si>
  <si>
    <t>1. Autistic disorder - F84.0
2. Tourette's disorder - F95.2
3. Unspecified intellectual disabilities - F79 
4. Social pragmatic communication disorder - F80.82</t>
  </si>
  <si>
    <t xml:space="preserve">1. Autistic disorder - F84.0 and  2. Tourette's disorder - F95.2
Given the developmental hx and social and interpersonal behaviors, and the co-occuring motor and phonic tics, these two are the most likely dx. 
3. Unspecified intellectual disabilities - F79  and 4. Social pragmatic communication disorder - F80.82
less likely as the presentation is very consistent with Autism with co-occuring Tourette's </t>
  </si>
  <si>
    <t xml:space="preserve">1. Dependent personality disorder - F60.7
2. Sedative, hypnotic or anxiolytic abuse with sedative, hypnotic or anxiolytic-induced anxiety disorder - F13.180
3. Adjustment disorder with anxiety - F43.22
4. Anxiety disorder, unspecified - F41.9 </t>
  </si>
  <si>
    <t xml:space="preserve">1. Dependent personality disorder - F60.7
Given the persistent pattern of excessive, pervasive need to be taken care of, leading to submissive, clinging behaviors and fears of separation, abandonment, and disapproval, making it hard to make decisions or function alone at work and other interpersonal relationships, most likely dx. 
2. Sedative, hypnotic or anxiolytic abuse with sedative, hypnotic or anxiolytic-induced anxiety disorder - F13.180
Also present as now there is increased use of the benzos. 
3. Adjustment disorder with anxiety - F43.22
might be on the differential that he is experiencing increased anxiety after a stressor, but less likely as there has been a more consistent pattern over time. 
4. Anxiety disorder, unspecified - F41.9 </t>
  </si>
  <si>
    <t>1. Other psychoactive substance abuse with psychoactive substance-induced psychotic disorder - F19.15
2. Other stimulant abuse with stimulant-induced psychotic disorder - F15.15 
3. Brief psychotic disorder - F23.0
4. Undifferentiated schizophrenia - F20.3</t>
  </si>
  <si>
    <t xml:space="preserve">1. Other psychoactive substance abuse with psychoactive substance-induced psychotic disorder - F19.15
Given the timeline, psychosis starting after PCP use and resolution of the sx within two days, most likley diagnsois for this episode. 
2. Other stimulant abuse with stimulant-induced psychotic disorder - F15.15 
Also the psychosis might be in the setting of methamphetamine use, that resolved within two days. 
3. Brief psychotic disorder - F23.0
less likely, but the psychosis might be unrelated to the substance use. 
4. Undifferentiated schizophrenia - F20.3
there is vague hx of psychosis in the past, but it is not metioned if those were also in the setting of substance use or not, therefore a primary psychotic disorder is also on the differential. </t>
  </si>
  <si>
    <t>1. Schizoaffective disorder, bipolar type - F25.0
2. Bipolar disorder, current episode manic severe with psychotic features - F31.2
3. Cannabis dependence with psychotic disorder - F12.25</t>
  </si>
  <si>
    <t xml:space="preserve">1. Schizoaffective disorder, bipolar type - F25.0
most likely diagnosis, given the hx of mood episodes with mania features in the past, and psychosis lasting in between the episodes, that was worsened by the cannabis use. 
2. Bipolar disorder, current episode manic severe with psychotic features - F31.2
Also on the differential, but less likely as the psychotic sx persisted without mood sxs. 
3. Cannabis dependence with psychotic disorder - F12.25
Given the timeline, least likely, as the mood episodes was present prior to the heavy cannabis use, and the psychotic sxs persisted even after. </t>
  </si>
  <si>
    <t>1. Oppositional defiant disorder - F91.3
2. Disruptive mood dysregulation disorder - F34.81
3. Impulse disorder, unspecified - F63.9
4. Conduct disorder, unspecified - F91.9
5. Unspecified mood [affective] disorder - F39</t>
  </si>
  <si>
    <t xml:space="preserve">1. Oppositional defiant disorder - F91.3
Given the age of the patient, starting in one setting and now extending to home as well, mostly oppositional behavior geared toward adults, this is most likely the diagnosis. 
2. Disruptive mood dysregulation disorder - F34.81
Also on the differential esp if there is a hx of such behaviors before age 10, and irritable mood present in between the episodes. 
3. Impulse disorder, unspecified - F63.9
again on the differential, as with time it might be more consistent with specific impulse control disorders. 
4. Conduct disorder, unspecified - F91.9
less likely, as there is no hx of severe behaviors such as severe bullying, cruelty, theft, vandalism, and severe defiance. 
5. Unspecified mood [affective] disorder - F39
it is on the differential, as early mood disorder at young age can present with mixed sxs and irritable mood. </t>
  </si>
  <si>
    <t xml:space="preserve">1. Intermittent explosive disorder - F63.81 
2. Oppositional defiant disorder - F91.3
3. Disruptive mood dysregulation disorder - F34.81
4. Impulse disorder, unspecified - F63.9
5. Bipolar disorder, unspecified - F31.9 </t>
  </si>
  <si>
    <t xml:space="preserve">1. Intermittent explosive disorder - F63.81 
Given the outbusrt of anger and getting into fights, and lack of sxs consistent with conduct disorder, or irritable mood in between, and lack of developmental delay, this might be the first differential. 
2. Oppositional defiant disorder - F91.3
Less likely as the patient is mostly doing behaviorally fine at home, but getting into severe explosive fights with peers/adults. 
3. Disruptive mood dysregulation disorder - F34.81
Again, less likely, as there is no mention of irritable mood in between the episodes. 
4. Impulse disorder, unspecified - F63.9
This can be on the differntial, as definitely there is some impulse control disorder present, and with time it might be more clear which disorder it is mostly consistent with. 
5. Bipolar disorder, unspecified - F31.9 
Given the episodic features, unspecified bipolar disorder also can be on the differential, esp in the earlier years of the disorder, it can present with irritable mood, and not necessarily mania specific findings. </t>
  </si>
  <si>
    <t>1. Cocaine dependance with cocaine-induced mood disorder - F14.24
2. Alcohol dependence with alcohol-induced mood disorder - F10.24
3. Other psychoactive substance abuse with psychoactive substance-induced mood disorder - F19.14
4. Depression, unspecified - F32.A
5. MDD - F32.9</t>
  </si>
  <si>
    <t xml:space="preserve">1. Cocaine dependance with cocaine-induced mood disorder - F14.24 and 2. Alcohol dependence with alcohol-induced mood disorder - F10.24
Given the timeline of the events, that was first the work-related stressors, leading to increased use of alcohol and cocaine use, leading to depressive sx, the most likely diagnosis is cocaine use disorder and alcohol use disorder both with induced mood disorder. 
3. Other psychoactive substance abuse with psychoactive substance-induced mood disorder - F19.14
less likely, as it seems the current stage meets the criteria for severe substance use disorder vs. abuse, but mood disorder secondary to substance abuse might be on the differential. 
4. Depression, unspecified - F32.A and 5. MDD - F32.9
these are less likely, as the timeline suggest that substance use disorder preceeded the depressive sxs, but these two can be also on the differential. </t>
  </si>
  <si>
    <t xml:space="preserve">1. Manic episode, unspecified - F30.9 
2. Mood disorder due to known physiological condition, unspecified - F06.30
3. Bipolar disorder, current episode manic without psychotic features -  F31.10 
4. Other psychoactive substance use, unspecified with psychoactive substance-induced mood disorder - F19.94
5. Schizoaffective disorder, bipolar type - F25.0 </t>
  </si>
  <si>
    <t>1. Manic episode, unspecified - F30.9 
Given the mania sx (speech, thought process, sleep, mood, increase in goal-directed and risky behaviors) and the timeline, and needing for hospitalization, all confirm that it is a manic episode. however, given the lack of prior mania/cyclic mood episode, it is still unspecified. 
2. Mood disorder due to known physiological condition, unspecified - F06.30
If no prior mania episode, given the untreated HIV at this time, might be a manic episode in the setting of the medical condition. 
3. Bipolar disorder, current episode manic without psychotic features -  F31.10 
it might also be the first manic episode of an underlying bipolar disorder. 
4. Other psychoactive substance use, unspecified with psychoactive substance-induced mood disorder - F19.94
still on the differential, though the timeline is completely matching, as sx started prior to the use. 
5. Schizoaffective disorder, bipolar type - F25.0 
least likely, as there were no psychotic features</t>
  </si>
  <si>
    <t>Clinician</t>
  </si>
  <si>
    <t>% Complete</t>
  </si>
  <si>
    <t>Progress</t>
  </si>
  <si>
    <t>Juliana Zhang</t>
  </si>
  <si>
    <t>Yasna Rostam Abadi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</si>
</sst>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quot;$&quot;#,##0.00"/>
  </numFmts>
  <fonts count="8">
    <font>
      <sz val="10.0"/>
      <color rgb="FF000000"/>
      <name val="Arial"/>
      <scheme val="minor"/>
    </font>
    <font>
      <b/>
      <sz val="14.0"/>
      <color theme="1"/>
      <name val="Arial"/>
      <scheme val="minor"/>
    </font>
    <font>
      <b/>
      <color theme="1"/>
      <name val="Arial"/>
    </font>
    <font>
      <color theme="1"/>
      <name val="Arial"/>
    </font>
    <font>
      <b/>
      <sz val="10.0"/>
      <color theme="1"/>
      <name val="Arial"/>
      <scheme val="minor"/>
    </font>
    <font>
      <sz val="10.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2" fontId="2" numFmtId="0" xfId="0" applyAlignment="1" applyFill="1" applyFont="1">
      <alignment vertical="bottom"/>
    </xf>
    <xf borderId="0" fillId="2" fontId="3" numFmtId="0" xfId="0" applyAlignment="1" applyFont="1">
      <alignment vertical="bottom"/>
    </xf>
    <xf borderId="0" fillId="0" fontId="3" numFmtId="164" xfId="0" applyAlignment="1" applyFont="1" applyNumberFormat="1">
      <alignment readingOrder="0" shrinkToFit="0" vertical="bottom" wrapText="0"/>
    </xf>
    <xf borderId="0" fillId="0" fontId="4" numFmtId="0" xfId="0" applyAlignment="1" applyFont="1">
      <alignment readingOrder="0" shrinkToFit="0" wrapText="0"/>
    </xf>
    <xf borderId="0" fillId="0" fontId="0" numFmtId="0" xfId="0" applyAlignment="1" applyFont="1">
      <alignment horizontal="right" readingOrder="0" shrinkToFit="0" vertical="bottom" wrapText="0"/>
    </xf>
    <xf borderId="0" fillId="0" fontId="0" numFmtId="0" xfId="0" applyAlignment="1" applyFont="1">
      <alignment readingOrder="0" shrinkToFit="0" vertical="bottom" wrapText="0"/>
    </xf>
    <xf borderId="0" fillId="0" fontId="5" numFmtId="0" xfId="0" applyAlignment="1" applyFont="1">
      <alignment readingOrder="0" shrinkToFit="0" wrapText="0"/>
    </xf>
    <xf borderId="0" fillId="0" fontId="5" numFmtId="165" xfId="0" applyAlignment="1" applyFont="1" applyNumberFormat="1">
      <alignment readingOrder="0" shrinkToFit="0" wrapText="0"/>
    </xf>
    <xf borderId="0" fillId="0" fontId="4" numFmtId="0" xfId="0" applyAlignment="1" applyFont="1">
      <alignment readingOrder="0" shrinkToFit="0" vertical="top" wrapText="0"/>
    </xf>
    <xf borderId="0" fillId="0" fontId="0" numFmtId="0" xfId="0" applyAlignment="1" applyFont="1">
      <alignment horizontal="right" readingOrder="0" shrinkToFit="0" vertical="top" wrapText="0"/>
    </xf>
    <xf borderId="0" fillId="0" fontId="0" numFmtId="0" xfId="0" applyAlignment="1" applyFont="1">
      <alignment readingOrder="0" shrinkToFit="0" vertical="top" wrapText="0"/>
    </xf>
    <xf borderId="0" fillId="0" fontId="5" numFmtId="0" xfId="0" applyAlignment="1" applyFont="1">
      <alignment readingOrder="0" shrinkToFit="0" vertical="top" wrapText="0"/>
    </xf>
    <xf borderId="0" fillId="0" fontId="6" numFmtId="0" xfId="0" applyAlignment="1" applyFont="1">
      <alignment shrinkToFit="0" wrapText="1"/>
    </xf>
    <xf borderId="0" fillId="0" fontId="5" numFmtId="0" xfId="0" applyAlignment="1" applyFont="1">
      <alignment horizontal="left" readingOrder="0" shrinkToFit="0" vertical="top" wrapText="0"/>
    </xf>
    <xf borderId="0" fillId="0" fontId="7" numFmtId="0" xfId="0" applyAlignment="1" applyFont="1">
      <alignment readingOrder="0"/>
    </xf>
    <xf borderId="0" fillId="0" fontId="6" numFmtId="0" xfId="0" applyAlignment="1" applyFont="1">
      <alignment readingOrder="0"/>
    </xf>
    <xf borderId="0" fillId="0" fontId="6" numFmtId="10" xfId="0"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7.13"/>
  </cols>
  <sheetData>
    <row r="1">
      <c r="A1" s="1" t="s">
        <v>0</v>
      </c>
    </row>
    <row r="3">
      <c r="A3" s="2" t="s">
        <v>1</v>
      </c>
      <c r="B3" s="3" t="s">
        <v>2</v>
      </c>
    </row>
    <row r="4">
      <c r="A4" s="4"/>
      <c r="B4" s="4"/>
    </row>
    <row r="5">
      <c r="A5" s="2" t="s">
        <v>3</v>
      </c>
      <c r="B5" s="3" t="s">
        <v>4</v>
      </c>
    </row>
    <row r="6">
      <c r="A6" s="4"/>
      <c r="B6" s="3" t="s">
        <v>5</v>
      </c>
    </row>
    <row r="7">
      <c r="A7" s="4"/>
      <c r="B7" s="3" t="s">
        <v>6</v>
      </c>
    </row>
    <row r="8">
      <c r="A8" s="4"/>
      <c r="B8" s="4"/>
    </row>
    <row r="9">
      <c r="A9" s="5" t="s">
        <v>7</v>
      </c>
      <c r="B9" s="6"/>
    </row>
    <row r="10">
      <c r="A10" s="4"/>
      <c r="B10" s="3" t="s">
        <v>8</v>
      </c>
    </row>
    <row r="11">
      <c r="A11" s="4"/>
      <c r="B11" s="3" t="s">
        <v>9</v>
      </c>
    </row>
    <row r="12">
      <c r="A12" s="4"/>
      <c r="B12" s="3" t="s">
        <v>10</v>
      </c>
    </row>
    <row r="13">
      <c r="A13" s="4"/>
      <c r="B13" s="3" t="s">
        <v>11</v>
      </c>
    </row>
    <row r="14">
      <c r="A14" s="4"/>
      <c r="B14" s="4"/>
    </row>
    <row r="15">
      <c r="A15" s="2" t="s">
        <v>12</v>
      </c>
      <c r="B15" s="3" t="s">
        <v>13</v>
      </c>
    </row>
    <row r="16">
      <c r="A16" s="4"/>
      <c r="B16" s="3" t="s">
        <v>14</v>
      </c>
    </row>
    <row r="17">
      <c r="A17" s="4"/>
      <c r="B17" s="4"/>
    </row>
    <row r="18">
      <c r="A18" s="2" t="s">
        <v>15</v>
      </c>
      <c r="B18" s="7">
        <v>46005.0</v>
      </c>
    </row>
    <row r="19">
      <c r="A19" s="4"/>
      <c r="B19" s="4"/>
    </row>
    <row r="20">
      <c r="A20" s="2" t="s">
        <v>16</v>
      </c>
      <c r="B20" s="4"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13.13"/>
  </cols>
  <sheetData>
    <row r="1" ht="15.75" customHeight="1">
      <c r="A1" s="8" t="s">
        <v>18</v>
      </c>
      <c r="B1" s="8" t="s">
        <v>19</v>
      </c>
      <c r="C1" s="8" t="s">
        <v>20</v>
      </c>
      <c r="D1" s="8" t="s">
        <v>21</v>
      </c>
    </row>
    <row r="2" ht="15.75" customHeight="1">
      <c r="A2" s="9">
        <v>181.0</v>
      </c>
      <c r="B2" s="10" t="s">
        <v>22</v>
      </c>
      <c r="C2" s="11" t="s">
        <v>23</v>
      </c>
      <c r="D2" s="11" t="s">
        <v>24</v>
      </c>
    </row>
    <row r="3" ht="15.75" customHeight="1">
      <c r="A3" s="9">
        <v>62.0</v>
      </c>
      <c r="B3" s="10" t="s">
        <v>25</v>
      </c>
      <c r="C3" s="11" t="s">
        <v>26</v>
      </c>
      <c r="D3" s="11" t="s">
        <v>27</v>
      </c>
    </row>
    <row r="4" ht="15.75" customHeight="1">
      <c r="A4" s="9">
        <v>169.0</v>
      </c>
      <c r="B4" s="10" t="s">
        <v>28</v>
      </c>
      <c r="C4" s="11" t="s">
        <v>29</v>
      </c>
      <c r="D4" s="11" t="s">
        <v>30</v>
      </c>
    </row>
    <row r="5" ht="15.75" customHeight="1">
      <c r="A5" s="9">
        <v>155.0</v>
      </c>
      <c r="B5" s="10" t="s">
        <v>31</v>
      </c>
      <c r="C5" s="11" t="s">
        <v>32</v>
      </c>
      <c r="D5" s="11" t="s">
        <v>33</v>
      </c>
    </row>
    <row r="6" ht="15.75" customHeight="1">
      <c r="A6" s="9">
        <v>32.0</v>
      </c>
      <c r="B6" s="10" t="s">
        <v>34</v>
      </c>
      <c r="C6" s="11" t="s">
        <v>35</v>
      </c>
      <c r="D6" s="11" t="s">
        <v>36</v>
      </c>
    </row>
    <row r="7" ht="15.75" customHeight="1">
      <c r="A7" s="9">
        <v>1013.0</v>
      </c>
      <c r="B7" s="10" t="s">
        <v>37</v>
      </c>
      <c r="C7" s="11" t="s">
        <v>38</v>
      </c>
      <c r="D7" s="11" t="s">
        <v>39</v>
      </c>
    </row>
    <row r="8" ht="15.75" customHeight="1">
      <c r="A8" s="9">
        <v>94.0</v>
      </c>
      <c r="B8" s="10" t="s">
        <v>40</v>
      </c>
      <c r="C8" s="11" t="s">
        <v>41</v>
      </c>
      <c r="D8" s="11" t="s">
        <v>42</v>
      </c>
    </row>
    <row r="9" ht="15.75" customHeight="1">
      <c r="A9" s="9">
        <v>1032.0</v>
      </c>
      <c r="B9" s="10" t="s">
        <v>43</v>
      </c>
      <c r="C9" s="11" t="s">
        <v>44</v>
      </c>
      <c r="D9" s="11" t="s">
        <v>45</v>
      </c>
    </row>
    <row r="10" ht="15.75" customHeight="1">
      <c r="A10" s="9">
        <v>1003.0</v>
      </c>
      <c r="B10" s="10" t="s">
        <v>46</v>
      </c>
      <c r="C10" s="11" t="s">
        <v>47</v>
      </c>
      <c r="D10" s="11" t="s">
        <v>48</v>
      </c>
    </row>
    <row r="11" ht="15.75" customHeight="1">
      <c r="A11" s="9">
        <v>80.0</v>
      </c>
      <c r="B11" s="10" t="s">
        <v>49</v>
      </c>
      <c r="C11" s="11" t="s">
        <v>50</v>
      </c>
      <c r="D11" s="11" t="s">
        <v>51</v>
      </c>
    </row>
    <row r="12" ht="15.75" customHeight="1">
      <c r="A12" s="9">
        <v>109.0</v>
      </c>
      <c r="B12" s="10" t="s">
        <v>52</v>
      </c>
      <c r="C12" s="11" t="s">
        <v>53</v>
      </c>
      <c r="D12" s="11" t="s">
        <v>54</v>
      </c>
    </row>
    <row r="13" ht="15.75" customHeight="1">
      <c r="A13" s="9">
        <v>118.0</v>
      </c>
      <c r="B13" s="10" t="s">
        <v>55</v>
      </c>
      <c r="C13" s="11" t="s">
        <v>56</v>
      </c>
      <c r="D13" s="11" t="s">
        <v>57</v>
      </c>
    </row>
    <row r="14" ht="15.75" customHeight="1">
      <c r="A14" s="9">
        <v>159.0</v>
      </c>
      <c r="B14" s="10" t="s">
        <v>58</v>
      </c>
      <c r="C14" s="11" t="s">
        <v>59</v>
      </c>
      <c r="D14" s="11" t="s">
        <v>60</v>
      </c>
    </row>
    <row r="15" ht="15.75" customHeight="1">
      <c r="A15" s="9">
        <v>1021.0</v>
      </c>
      <c r="B15" s="10" t="s">
        <v>61</v>
      </c>
      <c r="C15" s="11" t="s">
        <v>62</v>
      </c>
      <c r="D15" s="11" t="s">
        <v>63</v>
      </c>
    </row>
    <row r="16" ht="15.75" customHeight="1">
      <c r="A16" s="9">
        <v>104.0</v>
      </c>
      <c r="B16" s="10" t="s">
        <v>64</v>
      </c>
      <c r="C16" s="11" t="s">
        <v>65</v>
      </c>
      <c r="D16" s="11" t="s">
        <v>66</v>
      </c>
    </row>
    <row r="17" ht="15.75" customHeight="1">
      <c r="A17" s="9">
        <v>1049.0</v>
      </c>
      <c r="B17" s="10" t="s">
        <v>67</v>
      </c>
      <c r="C17" s="11" t="s">
        <v>68</v>
      </c>
      <c r="D17" s="11" t="s">
        <v>69</v>
      </c>
    </row>
    <row r="18" ht="15.75" customHeight="1">
      <c r="A18" s="9">
        <v>115.0</v>
      </c>
      <c r="B18" s="10" t="s">
        <v>70</v>
      </c>
      <c r="C18" s="11" t="s">
        <v>71</v>
      </c>
      <c r="D18" s="11" t="s">
        <v>72</v>
      </c>
    </row>
    <row r="19" ht="15.75" customHeight="1">
      <c r="A19" s="9">
        <v>1009.0</v>
      </c>
      <c r="B19" s="10" t="s">
        <v>73</v>
      </c>
      <c r="C19" s="11" t="s">
        <v>74</v>
      </c>
      <c r="D19" s="11" t="s">
        <v>75</v>
      </c>
    </row>
    <row r="20" ht="15.75" customHeight="1">
      <c r="A20" s="9">
        <v>99.0</v>
      </c>
      <c r="B20" s="10" t="s">
        <v>76</v>
      </c>
      <c r="C20" s="11" t="s">
        <v>77</v>
      </c>
      <c r="D20" s="11" t="s">
        <v>78</v>
      </c>
    </row>
    <row r="21" ht="15.75" customHeight="1">
      <c r="A21" s="9">
        <v>23.0</v>
      </c>
      <c r="B21" s="10" t="s">
        <v>79</v>
      </c>
      <c r="C21" s="11" t="s">
        <v>80</v>
      </c>
      <c r="D21" s="11" t="s">
        <v>81</v>
      </c>
    </row>
    <row r="22" ht="15.75" customHeight="1">
      <c r="A22" s="9">
        <v>1020.0</v>
      </c>
      <c r="B22" s="10" t="s">
        <v>82</v>
      </c>
      <c r="C22" s="11" t="s">
        <v>83</v>
      </c>
      <c r="D22" s="11" t="s">
        <v>84</v>
      </c>
    </row>
    <row r="23" ht="15.75" customHeight="1">
      <c r="A23" s="9">
        <v>85.0</v>
      </c>
      <c r="B23" s="10" t="s">
        <v>85</v>
      </c>
      <c r="C23" s="11" t="s">
        <v>86</v>
      </c>
      <c r="D23" s="11" t="s">
        <v>87</v>
      </c>
    </row>
    <row r="24" ht="15.75" customHeight="1">
      <c r="A24" s="9">
        <v>1012.0</v>
      </c>
      <c r="B24" s="10" t="s">
        <v>88</v>
      </c>
      <c r="C24" s="11" t="s">
        <v>89</v>
      </c>
      <c r="D24" s="11" t="s">
        <v>90</v>
      </c>
    </row>
    <row r="25" ht="15.75" customHeight="1">
      <c r="A25" s="9">
        <v>178.0</v>
      </c>
      <c r="B25" s="10" t="s">
        <v>91</v>
      </c>
      <c r="C25" s="11" t="s">
        <v>92</v>
      </c>
      <c r="D25" s="11" t="s">
        <v>93</v>
      </c>
    </row>
    <row r="26" ht="15.75" customHeight="1">
      <c r="A26" s="9">
        <v>1047.0</v>
      </c>
      <c r="B26" s="10" t="s">
        <v>94</v>
      </c>
      <c r="C26" s="11" t="s">
        <v>95</v>
      </c>
      <c r="D26" s="11" t="s">
        <v>96</v>
      </c>
    </row>
    <row r="27" ht="15.75" customHeight="1">
      <c r="A27" s="9">
        <v>17.0</v>
      </c>
      <c r="B27" s="10" t="s">
        <v>97</v>
      </c>
      <c r="C27" s="11" t="s">
        <v>98</v>
      </c>
      <c r="D27" s="11" t="s">
        <v>99</v>
      </c>
    </row>
    <row r="28" ht="15.75" customHeight="1">
      <c r="A28" s="9">
        <v>1033.0</v>
      </c>
      <c r="B28" s="10" t="s">
        <v>100</v>
      </c>
      <c r="C28" s="11" t="s">
        <v>101</v>
      </c>
      <c r="D28" s="11" t="s">
        <v>102</v>
      </c>
    </row>
    <row r="29" ht="15.75" customHeight="1">
      <c r="A29" s="9">
        <v>1056.0</v>
      </c>
      <c r="B29" s="10" t="s">
        <v>103</v>
      </c>
      <c r="C29" s="11" t="s">
        <v>104</v>
      </c>
      <c r="D29" s="11" t="s">
        <v>105</v>
      </c>
    </row>
    <row r="30" ht="15.75" customHeight="1">
      <c r="A30" s="9">
        <v>108.0</v>
      </c>
      <c r="B30" s="10" t="s">
        <v>106</v>
      </c>
      <c r="C30" s="11" t="s">
        <v>107</v>
      </c>
      <c r="D30" s="11" t="s">
        <v>108</v>
      </c>
    </row>
    <row r="31" ht="15.75" customHeight="1">
      <c r="A31" s="9">
        <v>97.0</v>
      </c>
      <c r="B31" s="10" t="s">
        <v>109</v>
      </c>
      <c r="C31" s="11" t="s">
        <v>110</v>
      </c>
      <c r="D31" s="12" t="s">
        <v>111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 customWidth="1" min="3" max="3" width="30.0"/>
    <col customWidth="1" min="4" max="4" width="41.25"/>
  </cols>
  <sheetData>
    <row r="1" ht="17.25" customHeight="1">
      <c r="A1" s="13" t="s">
        <v>18</v>
      </c>
      <c r="B1" s="13" t="s">
        <v>19</v>
      </c>
      <c r="C1" s="13" t="s">
        <v>20</v>
      </c>
      <c r="D1" s="13" t="s">
        <v>21</v>
      </c>
    </row>
    <row r="2" ht="17.25" customHeight="1">
      <c r="A2" s="14">
        <v>181.0</v>
      </c>
      <c r="B2" s="15" t="s">
        <v>22</v>
      </c>
      <c r="C2" s="16" t="s">
        <v>112</v>
      </c>
      <c r="D2" s="16" t="s">
        <v>113</v>
      </c>
    </row>
    <row r="3" ht="17.25" customHeight="1">
      <c r="A3" s="14">
        <v>62.0</v>
      </c>
      <c r="B3" s="15" t="s">
        <v>25</v>
      </c>
      <c r="C3" s="16" t="s">
        <v>114</v>
      </c>
      <c r="D3" s="16" t="s">
        <v>115</v>
      </c>
      <c r="E3" s="17"/>
      <c r="F3" s="17"/>
      <c r="G3" s="17"/>
      <c r="H3" s="17"/>
      <c r="I3" s="17"/>
      <c r="J3" s="17"/>
      <c r="K3" s="17"/>
      <c r="L3" s="17"/>
      <c r="M3" s="17"/>
      <c r="N3" s="17"/>
      <c r="O3" s="17"/>
      <c r="P3" s="17"/>
      <c r="Q3" s="17"/>
      <c r="R3" s="17"/>
      <c r="S3" s="17"/>
      <c r="T3" s="17"/>
      <c r="U3" s="17"/>
      <c r="V3" s="17"/>
      <c r="W3" s="17"/>
      <c r="X3" s="17"/>
      <c r="Y3" s="17"/>
      <c r="Z3" s="17"/>
    </row>
    <row r="4" ht="17.25" customHeight="1">
      <c r="A4" s="14">
        <v>169.0</v>
      </c>
      <c r="B4" s="15" t="s">
        <v>28</v>
      </c>
      <c r="C4" s="18" t="s">
        <v>116</v>
      </c>
      <c r="D4" s="16" t="s">
        <v>117</v>
      </c>
    </row>
    <row r="5" ht="17.25" customHeight="1">
      <c r="A5" s="14">
        <v>155.0</v>
      </c>
      <c r="B5" s="15" t="s">
        <v>31</v>
      </c>
      <c r="C5" s="16" t="s">
        <v>118</v>
      </c>
      <c r="D5" s="16" t="s">
        <v>119</v>
      </c>
    </row>
    <row r="6" ht="17.25" customHeight="1">
      <c r="A6" s="14">
        <v>32.0</v>
      </c>
      <c r="B6" s="15" t="s">
        <v>34</v>
      </c>
      <c r="C6" s="16" t="s">
        <v>120</v>
      </c>
      <c r="D6" s="16" t="s">
        <v>121</v>
      </c>
    </row>
    <row r="7" ht="17.25" customHeight="1">
      <c r="A7" s="14">
        <v>1013.0</v>
      </c>
      <c r="B7" s="15" t="s">
        <v>37</v>
      </c>
      <c r="C7" s="16" t="s">
        <v>122</v>
      </c>
      <c r="D7" s="16" t="s">
        <v>123</v>
      </c>
    </row>
    <row r="8" ht="17.25" customHeight="1">
      <c r="A8" s="14">
        <v>94.0</v>
      </c>
      <c r="B8" s="15" t="s">
        <v>40</v>
      </c>
      <c r="C8" s="16" t="s">
        <v>124</v>
      </c>
      <c r="D8" s="16" t="s">
        <v>125</v>
      </c>
    </row>
    <row r="9" ht="17.25" customHeight="1">
      <c r="A9" s="14">
        <v>1032.0</v>
      </c>
      <c r="B9" s="15" t="s">
        <v>43</v>
      </c>
      <c r="C9" s="16" t="s">
        <v>126</v>
      </c>
      <c r="D9" s="16" t="s">
        <v>127</v>
      </c>
    </row>
    <row r="10" ht="17.25" customHeight="1">
      <c r="A10" s="14">
        <v>1003.0</v>
      </c>
      <c r="B10" s="15" t="s">
        <v>46</v>
      </c>
      <c r="C10" s="16" t="s">
        <v>128</v>
      </c>
      <c r="D10" s="16" t="s">
        <v>129</v>
      </c>
    </row>
    <row r="11" ht="17.25" customHeight="1">
      <c r="A11" s="14">
        <v>80.0</v>
      </c>
      <c r="B11" s="15" t="s">
        <v>49</v>
      </c>
      <c r="C11" s="16" t="s">
        <v>130</v>
      </c>
      <c r="D11" s="16" t="s">
        <v>131</v>
      </c>
    </row>
    <row r="12" ht="17.25" customHeight="1">
      <c r="A12" s="14">
        <v>109.0</v>
      </c>
      <c r="B12" s="15" t="s">
        <v>52</v>
      </c>
      <c r="C12" s="16" t="s">
        <v>132</v>
      </c>
      <c r="D12" s="16" t="s">
        <v>133</v>
      </c>
    </row>
    <row r="13" ht="17.25" customHeight="1">
      <c r="A13" s="14">
        <v>118.0</v>
      </c>
      <c r="B13" s="15" t="s">
        <v>55</v>
      </c>
      <c r="C13" s="16" t="s">
        <v>134</v>
      </c>
      <c r="D13" s="16" t="s">
        <v>135</v>
      </c>
    </row>
    <row r="14" ht="17.25" customHeight="1">
      <c r="A14" s="14">
        <v>159.0</v>
      </c>
      <c r="B14" s="15" t="s">
        <v>58</v>
      </c>
      <c r="C14" s="16" t="s">
        <v>136</v>
      </c>
      <c r="D14" s="16" t="s">
        <v>137</v>
      </c>
    </row>
    <row r="15" ht="17.25" customHeight="1">
      <c r="A15" s="14">
        <v>1021.0</v>
      </c>
      <c r="B15" s="15" t="s">
        <v>61</v>
      </c>
      <c r="C15" s="16" t="s">
        <v>138</v>
      </c>
      <c r="D15" s="16" t="s">
        <v>139</v>
      </c>
    </row>
    <row r="16" ht="17.25" customHeight="1">
      <c r="A16" s="14">
        <v>104.0</v>
      </c>
      <c r="B16" s="15" t="s">
        <v>64</v>
      </c>
      <c r="C16" s="16" t="s">
        <v>140</v>
      </c>
      <c r="D16" s="16" t="s">
        <v>141</v>
      </c>
    </row>
    <row r="17" ht="17.25" customHeight="1">
      <c r="A17" s="14">
        <v>1049.0</v>
      </c>
      <c r="B17" s="15" t="s">
        <v>67</v>
      </c>
      <c r="C17" s="16" t="s">
        <v>142</v>
      </c>
      <c r="D17" s="16" t="s">
        <v>143</v>
      </c>
    </row>
    <row r="18" ht="17.25" customHeight="1">
      <c r="A18" s="14">
        <v>115.0</v>
      </c>
      <c r="B18" s="15" t="s">
        <v>70</v>
      </c>
      <c r="C18" s="16" t="s">
        <v>144</v>
      </c>
      <c r="D18" s="16" t="s">
        <v>145</v>
      </c>
    </row>
    <row r="19" ht="17.25" customHeight="1">
      <c r="A19" s="14">
        <v>1009.0</v>
      </c>
      <c r="B19" s="15" t="s">
        <v>73</v>
      </c>
      <c r="C19" s="16" t="s">
        <v>146</v>
      </c>
      <c r="D19" s="16" t="s">
        <v>147</v>
      </c>
    </row>
    <row r="20" ht="17.25" customHeight="1">
      <c r="A20" s="14">
        <v>99.0</v>
      </c>
      <c r="B20" s="15" t="s">
        <v>76</v>
      </c>
      <c r="C20" s="16" t="s">
        <v>148</v>
      </c>
      <c r="D20" s="16" t="s">
        <v>149</v>
      </c>
    </row>
    <row r="21" ht="17.25" customHeight="1">
      <c r="A21" s="14">
        <v>23.0</v>
      </c>
      <c r="B21" s="15" t="s">
        <v>79</v>
      </c>
      <c r="C21" s="16" t="s">
        <v>150</v>
      </c>
      <c r="D21" s="16" t="s">
        <v>151</v>
      </c>
    </row>
    <row r="22" ht="17.25" customHeight="1">
      <c r="A22" s="14">
        <v>1020.0</v>
      </c>
      <c r="B22" s="15" t="s">
        <v>82</v>
      </c>
      <c r="C22" s="16" t="s">
        <v>152</v>
      </c>
      <c r="D22" s="16" t="s">
        <v>153</v>
      </c>
    </row>
    <row r="23" ht="17.25" customHeight="1">
      <c r="A23" s="14">
        <v>85.0</v>
      </c>
      <c r="B23" s="15" t="s">
        <v>85</v>
      </c>
      <c r="C23" s="16" t="s">
        <v>154</v>
      </c>
      <c r="D23" s="16" t="s">
        <v>155</v>
      </c>
    </row>
    <row r="24" ht="17.25" customHeight="1">
      <c r="A24" s="14">
        <v>1012.0</v>
      </c>
      <c r="B24" s="15" t="s">
        <v>88</v>
      </c>
      <c r="C24" s="16" t="s">
        <v>156</v>
      </c>
      <c r="D24" s="16" t="s">
        <v>157</v>
      </c>
    </row>
    <row r="25" ht="17.25" customHeight="1">
      <c r="A25" s="14">
        <v>178.0</v>
      </c>
      <c r="B25" s="15" t="s">
        <v>91</v>
      </c>
      <c r="C25" s="16" t="s">
        <v>158</v>
      </c>
      <c r="D25" s="16" t="s">
        <v>159</v>
      </c>
    </row>
    <row r="26" ht="17.25" customHeight="1">
      <c r="A26" s="14">
        <v>1047.0</v>
      </c>
      <c r="B26" s="15" t="s">
        <v>94</v>
      </c>
      <c r="C26" s="18" t="s">
        <v>160</v>
      </c>
      <c r="D26" s="16" t="s">
        <v>161</v>
      </c>
    </row>
    <row r="27" ht="17.25" customHeight="1">
      <c r="A27" s="14">
        <v>17.0</v>
      </c>
      <c r="B27" s="15" t="s">
        <v>97</v>
      </c>
      <c r="C27" s="16" t="s">
        <v>162</v>
      </c>
      <c r="D27" s="16" t="s">
        <v>163</v>
      </c>
    </row>
    <row r="28" ht="17.25" customHeight="1">
      <c r="A28" s="14">
        <v>1033.0</v>
      </c>
      <c r="B28" s="15" t="s">
        <v>100</v>
      </c>
      <c r="C28" s="16" t="s">
        <v>164</v>
      </c>
      <c r="D28" s="16" t="s">
        <v>165</v>
      </c>
    </row>
    <row r="29" ht="17.25" customHeight="1">
      <c r="A29" s="14">
        <v>1056.0</v>
      </c>
      <c r="B29" s="15" t="s">
        <v>103</v>
      </c>
      <c r="C29" s="16" t="s">
        <v>166</v>
      </c>
      <c r="D29" s="16" t="s">
        <v>167</v>
      </c>
    </row>
    <row r="30" ht="17.25" customHeight="1">
      <c r="A30" s="14">
        <v>108.0</v>
      </c>
      <c r="B30" s="15" t="s">
        <v>106</v>
      </c>
      <c r="C30" s="16" t="s">
        <v>168</v>
      </c>
      <c r="D30" s="16" t="s">
        <v>169</v>
      </c>
    </row>
    <row r="31" ht="17.25" customHeight="1">
      <c r="A31" s="14">
        <v>97.0</v>
      </c>
      <c r="B31" s="15" t="s">
        <v>109</v>
      </c>
      <c r="C31" s="16" t="s">
        <v>170</v>
      </c>
      <c r="D31" s="16" t="s">
        <v>171</v>
      </c>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19" t="s">
        <v>172</v>
      </c>
      <c r="B1" s="19" t="s">
        <v>173</v>
      </c>
      <c r="C1" s="19" t="s">
        <v>174</v>
      </c>
    </row>
    <row r="2">
      <c r="A2" s="20" t="s">
        <v>175</v>
      </c>
      <c r="B2" s="21">
        <f>COUNTA('Juliana Zhang'!C2:C31) / ROWS('Juliana Zhang'!C2:C31) </f>
        <v>1</v>
      </c>
      <c r="C2" s="22" t="str">
        <f>IFERROR(__xludf.DUMMYFUNCTION("SPARKLINE(B2, {""charttype"",""bar"";""max"",1;""color1"",""green""})"),"")</f>
        <v/>
      </c>
    </row>
    <row r="3">
      <c r="A3" s="20" t="s">
        <v>176</v>
      </c>
      <c r="B3" s="21">
        <f>COUNTA('Yasna Rostam Abadi'!C2:C31) / ROWS('Yasna Rostam Abadi'!C2:C31) </f>
        <v>1</v>
      </c>
      <c r="C3" s="22" t="str">
        <f>IFERROR(__xludf.DUMMYFUNCTION("SPARKLINE(B3, {""charttype"",""bar"";""max"",1;""color1"",""green""})"),"")</f>
        <v/>
      </c>
    </row>
  </sheetData>
  <drawing r:id="rId1"/>
</worksheet>
</file>